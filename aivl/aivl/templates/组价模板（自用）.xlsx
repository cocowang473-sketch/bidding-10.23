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组价模板" sheetId="1" r:id="rId1"/>
  </sheets>
  <definedNames>
    <definedName name="_xlnm._FilterDatabase" localSheetId="0" hidden="1">组价模板!$A$3:$AO$12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<sst xmlns="http://schemas.openxmlformats.org/spreadsheetml/2006/main" count="60" uniqueCount="57">
  <si>
    <t>工程量清单</t>
  </si>
  <si>
    <t>定额含量</t>
  </si>
  <si>
    <t>定额价</t>
  </si>
  <si>
    <t>主材采购</t>
  </si>
  <si>
    <t>外采主材金额（币种）</t>
  </si>
  <si>
    <t>外汇比例
折算DA</t>
  </si>
  <si>
    <t>当地采购金额</t>
  </si>
  <si>
    <t>到及尔</t>
  </si>
  <si>
    <t>到项目现场</t>
  </si>
  <si>
    <t>外汇需求金额
(测算材料外汇比例)</t>
  </si>
  <si>
    <t>人工费合计</t>
  </si>
  <si>
    <t>材料费合计</t>
  </si>
  <si>
    <t>机械费合计</t>
  </si>
  <si>
    <t>综合取费合计</t>
  </si>
  <si>
    <t>编号</t>
  </si>
  <si>
    <t>工程描述</t>
  </si>
  <si>
    <t>规格</t>
  </si>
  <si>
    <t>单位</t>
  </si>
  <si>
    <t>数量</t>
  </si>
  <si>
    <t>综合单价</t>
  </si>
  <si>
    <t>人工费</t>
  </si>
  <si>
    <t>材料费</t>
  </si>
  <si>
    <t>机械费</t>
  </si>
  <si>
    <t>综合取费</t>
  </si>
  <si>
    <t>合价</t>
  </si>
  <si>
    <t>劳务外汇需求</t>
  </si>
  <si>
    <t>材料外汇需求</t>
  </si>
  <si>
    <t>备注</t>
  </si>
  <si>
    <t>人工</t>
  </si>
  <si>
    <t>辅材</t>
  </si>
  <si>
    <t>机械</t>
  </si>
  <si>
    <t>主材费</t>
  </si>
  <si>
    <t>辅材费</t>
  </si>
  <si>
    <t>参考品牌</t>
  </si>
  <si>
    <t>产地</t>
  </si>
  <si>
    <t>欧元</t>
  </si>
  <si>
    <t>美元</t>
  </si>
  <si>
    <t>人民币</t>
  </si>
  <si>
    <t>DA</t>
  </si>
  <si>
    <t>出口港杂2%+运输7%</t>
  </si>
  <si>
    <t>代理6%</t>
  </si>
  <si>
    <t>关税</t>
  </si>
  <si>
    <t>团结税2%</t>
  </si>
  <si>
    <t>进口杂费5%</t>
  </si>
  <si>
    <t>采购平台1%</t>
  </si>
  <si>
    <t>外采合计
DA</t>
  </si>
  <si>
    <t>地材合计
DA</t>
  </si>
  <si>
    <t>运费</t>
  </si>
  <si>
    <t>来源表/行</t>
  </si>
  <si>
    <t>模板思路说明：</t>
  </si>
  <si>
    <t>以下顺序就是组价顺序的优先级；以下提到的列只是本模板的列，为了清楚公式来源逻辑，后续报价表列可能会存在列不一致，但是后续报价表格每列的中文抬头名称与本报价表的会一致</t>
  </si>
  <si>
    <t>1、</t>
  </si>
  <si>
    <t>根据工程描述及规格确定匹配数据，先匹配O、P、Q列的人材机的含量，粘贴为数值；随后区分主材采购金额是欧元、美元、人民币还是第纳尔，确认采购金额属于欧元、美元或人民币后将金额放在X、Y、Z列，如果是第纳尔那就将金额放在AD列的当地采购金额中，确定额主材金额也粘贴为数值；这样基础数据就已经确认完成，只有O、P、Q、X、Y、Z、AD列为数值。</t>
  </si>
  <si>
    <t>2、</t>
  </si>
  <si>
    <t>基础数据确定为数值以后，开始定额价R、S、T、U列的组价，其中R列人工费的价格公式为：人工含量*6500；T列辅材费的价格公式为：辅材含量*35*1.1*1；U列机械费的价格公式为：机械含量*35*1；S列主材费的价格=AN列到项目价格，AN列的价格=AK+AL+AM列的合，AK列=SUM(AA:AC)*(1+(AE+AF))*(1+(AG+AH+AI+AJ))，AL=AD，AM=SUM(AK:AL)*2%</t>
  </si>
  <si>
    <t>3、</t>
  </si>
  <si>
    <t>定额价R~U列计算完成后,G列=R列、H列=S列+T列、I列=U列；F列=G列+H列+I列+J列，J列=（G+H+J）*每次报价要求计取的费率；K列=E列*F列；L列=G列*E列*60%;M列=AO列*E列，AO列=SUM(AA:AC)*(1+AE+AF)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</si>
</sst>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#,##0.00_ "/>
  </numFmts>
  <fonts count="30">
    <font>
      <sz val="11"/>
      <color theme="1"/>
      <name val="宋体"/>
      <charset val="134"/>
    </font>
    <font>
      <b/>
      <sz val="11"/>
      <color theme="1"/>
      <name val="黑体"/>
      <charset val="134"/>
    </font>
    <font>
      <sz val="12"/>
      <color theme="1"/>
      <name val="宋体"/>
      <charset val="134"/>
    </font>
    <font>
      <b/>
      <sz val="16"/>
      <color rgb="FF000000"/>
      <name val="黑体"/>
      <charset val="134"/>
    </font>
    <font>
      <b/>
      <sz val="12"/>
      <color rgb="FF000000"/>
      <name val="黑体"/>
      <charset val="134"/>
    </font>
    <font>
      <b/>
      <sz val="12"/>
      <color theme="1"/>
      <name val="黑体"/>
      <charset val="134"/>
    </font>
    <font>
      <b/>
      <sz val="12"/>
      <name val="黑体"/>
      <charset val="134"/>
    </font>
    <font>
      <sz val="11"/>
      <color theme="1"/>
      <name val="Calibri"/>
      <charset val="134"/>
      <scheme val="minor"/>
    </font>
    <font>
      <b/>
      <sz val="12"/>
      <color rgb="FF1F2937"/>
      <name val="黑体"/>
      <charset val="134"/>
    </font>
    <font>
      <sz val="12"/>
      <color rgb="FF000000"/>
      <name val="宋体"/>
      <charset val="134"/>
    </font>
    <font>
      <i/>
      <sz val="12"/>
      <color rgb="FF5B5B5B"/>
      <name val="宋体"/>
      <charset val="134"/>
    </font>
    <font>
      <sz val="12"/>
      <color theme="1"/>
      <name val="仿宋"/>
      <charset val="134"/>
    </font>
    <font>
      <sz val="11"/>
      <color rgb="FF0000FF"/>
      <name val="宋体"/>
      <charset val="134"/>
    </font>
    <font>
      <sz val="11"/>
      <color rgb="FF800080"/>
      <name val="宋体"/>
      <charset val="134"/>
    </font>
    <font>
      <sz val="11"/>
      <color rgb="FFFF0000"/>
      <name val="宋体"/>
      <charset val="134"/>
    </font>
    <font>
      <b/>
      <sz val="18"/>
      <color theme="3"/>
      <name val="宋体"/>
      <charset val="134"/>
    </font>
    <font>
      <i/>
      <sz val="11"/>
      <color rgb="FF7F7F7F"/>
      <name val="宋体"/>
      <charset val="134"/>
    </font>
    <font>
      <b/>
      <sz val="15"/>
      <color theme="3"/>
      <name val="宋体"/>
      <charset val="134"/>
    </font>
    <font>
      <b/>
      <sz val="13"/>
      <color theme="3"/>
      <name val="宋体"/>
      <charset val="134"/>
    </font>
    <font>
      <b/>
      <sz val="11"/>
      <color theme="3"/>
      <name val="宋体"/>
      <charset val="134"/>
    </font>
    <font>
      <sz val="11"/>
      <color rgb="FF3F3F76"/>
      <name val="宋体"/>
      <charset val="134"/>
    </font>
    <font>
      <b/>
      <sz val="11"/>
      <color rgb="FF3F3F3F"/>
      <name val="宋体"/>
      <charset val="134"/>
    </font>
    <font>
      <b/>
      <sz val="11"/>
      <color rgb="FFFA7D00"/>
      <name val="宋体"/>
      <charset val="134"/>
    </font>
    <font>
      <b/>
      <sz val="11"/>
      <color rgb="FFFFFFFF"/>
      <name val="宋体"/>
      <charset val="134"/>
    </font>
    <font>
      <sz val="11"/>
      <color rgb="FFFA7D00"/>
      <name val="宋体"/>
      <charset val="134"/>
    </font>
    <font>
      <b/>
      <sz val="11"/>
      <color theme="1"/>
      <name val="宋体"/>
      <charset val="134"/>
    </font>
    <font>
      <sz val="11"/>
      <color rgb="FF006100"/>
      <name val="宋体"/>
      <charset val="134"/>
    </font>
    <font>
      <sz val="11"/>
      <color rgb="FF9C0006"/>
      <name val="宋体"/>
      <charset val="134"/>
    </font>
    <font>
      <sz val="11"/>
      <color rgb="FF9C6500"/>
      <name val="宋体"/>
      <charset val="134"/>
    </font>
    <font>
      <sz val="11"/>
      <color theme="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3" borderId="8" applyNumberFormat="0" applyAlignment="0" applyProtection="0">
      <alignment vertical="center"/>
    </xf>
    <xf numFmtId="0" fontId="21" fillId="4" borderId="9" applyNumberFormat="0" applyAlignment="0" applyProtection="0">
      <alignment vertical="center"/>
    </xf>
    <xf numFmtId="0" fontId="22" fillId="4" borderId="8" applyNumberFormat="0" applyAlignment="0" applyProtection="0">
      <alignment vertical="center"/>
    </xf>
    <xf numFmtId="0" fontId="23" fillId="5" borderId="10" applyNumberFormat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7" fillId="0" borderId="0">
      <alignment vertical="center"/>
    </xf>
  </cellStyleXfs>
  <cellXfs count="53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Fill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176" fontId="2" fillId="0" borderId="0" xfId="0" applyNumberFormat="1" applyFont="1" applyFill="1">
      <alignment vertical="center"/>
    </xf>
    <xf numFmtId="43" fontId="2" fillId="0" borderId="0" xfId="0" applyNumberFormat="1" applyFont="1" applyFill="1" applyAlignment="1">
      <alignment horizontal="center" vertical="center"/>
    </xf>
    <xf numFmtId="0" fontId="2" fillId="0" borderId="0" xfId="0" applyFont="1" applyFill="1">
      <alignment vertical="center"/>
    </xf>
    <xf numFmtId="43" fontId="0" fillId="0" borderId="0" xfId="0" applyNumberFormat="1" applyFill="1">
      <alignment vertical="center"/>
    </xf>
    <xf numFmtId="9" fontId="2" fillId="0" borderId="0" xfId="0" applyNumberFormat="1" applyFont="1" applyFill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176" fontId="4" fillId="0" borderId="4" xfId="0" applyNumberFormat="1" applyFont="1" applyFill="1" applyBorder="1" applyAlignment="1">
      <alignment horizontal="center" vertical="center" wrapText="1"/>
    </xf>
    <xf numFmtId="43" fontId="4" fillId="0" borderId="4" xfId="0" applyNumberFormat="1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177" fontId="6" fillId="0" borderId="4" xfId="0" applyNumberFormat="1" applyFont="1" applyFill="1" applyBorder="1" applyAlignment="1">
      <alignment horizontal="center" vertical="center"/>
    </xf>
    <xf numFmtId="43" fontId="4" fillId="0" borderId="4" xfId="1" applyFont="1" applyFill="1" applyBorder="1" applyAlignment="1">
      <alignment horizontal="center" vertical="center" wrapText="1"/>
    </xf>
    <xf numFmtId="43" fontId="7" fillId="0" borderId="4" xfId="1" applyFont="1" applyFill="1" applyBorder="1" applyAlignment="1">
      <alignment horizontal="center" vertical="center"/>
    </xf>
    <xf numFmtId="0" fontId="8" fillId="0" borderId="4" xfId="0" applyNumberFormat="1" applyFont="1" applyFill="1" applyBorder="1" applyAlignment="1">
      <alignment horizontal="center" vertical="center"/>
    </xf>
    <xf numFmtId="0" fontId="9" fillId="0" borderId="4" xfId="0" applyFont="1" applyFill="1" applyBorder="1" applyAlignment="1">
      <alignment horizontal="center" vertical="center" wrapText="1"/>
    </xf>
    <xf numFmtId="0" fontId="9" fillId="0" borderId="4" xfId="0" applyFont="1" applyFill="1" applyBorder="1" applyAlignment="1">
      <alignment vertical="center" wrapText="1"/>
    </xf>
    <xf numFmtId="176" fontId="9" fillId="0" borderId="4" xfId="0" applyNumberFormat="1" applyFont="1" applyFill="1" applyBorder="1" applyAlignment="1">
      <alignment horizontal="center" vertical="center" wrapText="1"/>
    </xf>
    <xf numFmtId="43" fontId="9" fillId="0" borderId="4" xfId="0" applyNumberFormat="1" applyFont="1" applyFill="1" applyBorder="1" applyAlignment="1">
      <alignment horizontal="center" vertical="center" wrapText="1"/>
    </xf>
    <xf numFmtId="43" fontId="2" fillId="0" borderId="4" xfId="0" applyNumberFormat="1" applyFont="1" applyFill="1" applyBorder="1" applyAlignment="1">
      <alignment horizontal="center" vertical="center"/>
    </xf>
    <xf numFmtId="43" fontId="10" fillId="0" borderId="4" xfId="0" applyNumberFormat="1" applyFont="1" applyFill="1" applyBorder="1" applyAlignment="1">
      <alignment horizontal="center" vertical="center" wrapText="1"/>
    </xf>
    <xf numFmtId="43" fontId="0" fillId="0" borderId="4" xfId="0" applyNumberFormat="1" applyFont="1" applyFill="1" applyBorder="1" applyAlignment="1">
      <alignment horizontal="center" vertical="center"/>
    </xf>
    <xf numFmtId="43" fontId="0" fillId="0" borderId="4" xfId="0" applyNumberFormat="1" applyFill="1" applyBorder="1" applyAlignment="1">
      <alignment horizontal="center" vertical="center"/>
    </xf>
    <xf numFmtId="43" fontId="0" fillId="0" borderId="4" xfId="0" applyNumberFormat="1" applyFill="1" applyBorder="1">
      <alignment vertical="center"/>
    </xf>
    <xf numFmtId="9" fontId="2" fillId="0" borderId="4" xfId="3" applyFont="1" applyFill="1" applyBorder="1" applyAlignment="1">
      <alignment horizontal="center" vertical="center"/>
    </xf>
    <xf numFmtId="4" fontId="2" fillId="0" borderId="4" xfId="0" applyNumberFormat="1" applyFont="1" applyFill="1" applyBorder="1" applyAlignment="1">
      <alignment horizontal="center" vertical="center"/>
    </xf>
    <xf numFmtId="9" fontId="2" fillId="0" borderId="4" xfId="3" applyNumberFormat="1" applyFont="1" applyFill="1" applyBorder="1" applyAlignment="1">
      <alignment horizontal="center" vertical="center"/>
    </xf>
    <xf numFmtId="0" fontId="9" fillId="0" borderId="0" xfId="0" applyFont="1" applyFill="1" applyAlignment="1">
      <alignment horizontal="center" vertical="center" wrapText="1"/>
    </xf>
    <xf numFmtId="0" fontId="9" fillId="0" borderId="0" xfId="0" applyFont="1" applyFill="1" applyAlignment="1">
      <alignment vertical="center" wrapText="1"/>
    </xf>
    <xf numFmtId="176" fontId="9" fillId="0" borderId="0" xfId="0" applyNumberFormat="1" applyFont="1" applyFill="1" applyAlignment="1">
      <alignment horizontal="center" vertical="center" wrapText="1"/>
    </xf>
    <xf numFmtId="43" fontId="9" fillId="0" borderId="0" xfId="0" applyNumberFormat="1" applyFont="1" applyFill="1" applyAlignment="1">
      <alignment horizontal="center" vertical="center" wrapText="1"/>
    </xf>
    <xf numFmtId="43" fontId="10" fillId="0" borderId="0" xfId="0" applyNumberFormat="1" applyFont="1" applyFill="1" applyAlignment="1">
      <alignment horizontal="center" vertical="center" wrapText="1"/>
    </xf>
    <xf numFmtId="43" fontId="0" fillId="0" borderId="0" xfId="0" applyNumberFormat="1" applyFont="1" applyFill="1" applyAlignment="1">
      <alignment horizontal="center" vertical="center"/>
    </xf>
    <xf numFmtId="43" fontId="0" fillId="0" borderId="0" xfId="0" applyNumberFormat="1" applyFill="1" applyAlignment="1">
      <alignment horizontal="center" vertical="center"/>
    </xf>
    <xf numFmtId="9" fontId="2" fillId="0" borderId="0" xfId="3" applyFont="1" applyFill="1" applyAlignment="1">
      <alignment horizontal="center" vertical="center"/>
    </xf>
    <xf numFmtId="0" fontId="2" fillId="0" borderId="0" xfId="3" applyNumberFormat="1" applyFont="1" applyFill="1" applyAlignment="1">
      <alignment horizontal="center" vertical="center"/>
    </xf>
    <xf numFmtId="4" fontId="2" fillId="0" borderId="0" xfId="0" applyNumberFormat="1" applyFont="1" applyFill="1" applyAlignment="1">
      <alignment horizontal="center" vertical="center"/>
    </xf>
    <xf numFmtId="0" fontId="5" fillId="0" borderId="4" xfId="0" applyFont="1" applyFill="1" applyBorder="1" applyAlignment="1">
      <alignment horizontal="center" vertical="center" wrapText="1"/>
    </xf>
    <xf numFmtId="0" fontId="11" fillId="0" borderId="4" xfId="0" applyFont="1" applyFill="1" applyBorder="1" applyAlignment="1">
      <alignment horizontal="center" vertical="center"/>
    </xf>
    <xf numFmtId="0" fontId="11" fillId="0" borderId="4" xfId="0" applyFont="1" applyFill="1" applyBorder="1" applyAlignment="1">
      <alignment horizontal="left" vertical="center" wrapText="1"/>
    </xf>
    <xf numFmtId="43" fontId="2" fillId="0" borderId="0" xfId="0" applyNumberFormat="1" applyFont="1" applyFill="1" applyBorder="1" applyAlignment="1">
      <alignment horizontal="center" vertical="center"/>
    </xf>
    <xf numFmtId="0" fontId="11" fillId="0" borderId="4" xfId="0" applyFont="1" applyFill="1" applyBorder="1" applyAlignment="1">
      <alignment horizontal="center" vertical="center" wrapText="1"/>
    </xf>
    <xf numFmtId="4" fontId="2" fillId="0" borderId="0" xfId="0" applyNumberFormat="1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S13"/>
  <sheetViews>
    <sheetView tabSelected="1" zoomScale="85" zoomScaleNormal="85" workbookViewId="0">
      <selection activeCell="O1" sqref="O$1:W$1048576"/>
    </sheetView>
  </sheetViews>
  <sheetFormatPr defaultColWidth="8.72727272727273" defaultRowHeight="15"/>
  <cols>
    <col min="1" max="1" width="6.94545454545455" style="3" customWidth="1"/>
    <col min="2" max="2" width="22.4545454545455" style="4" customWidth="1"/>
    <col min="3" max="3" width="44.6363636363636" style="4" customWidth="1"/>
    <col min="4" max="4" width="7.36363636363636" style="4" customWidth="1"/>
    <col min="5" max="5" width="12.2727272727273" style="5" customWidth="1"/>
    <col min="6" max="8" width="20.1818181818182" style="6" customWidth="1"/>
    <col min="9" max="10" width="17.3636363636364" style="6" customWidth="1"/>
    <col min="11" max="11" width="21.0363636363636" style="6" customWidth="1"/>
    <col min="12" max="12" width="21.4272727272727" style="6" customWidth="1"/>
    <col min="13" max="13" width="20.5181818181818" style="6" customWidth="1"/>
    <col min="14" max="14" width="11.8090909090909" style="7" customWidth="1"/>
    <col min="15" max="15" width="12.3363636363636" style="7" customWidth="1"/>
    <col min="16" max="17" width="12.3363636363636" style="2" customWidth="1"/>
    <col min="18" max="18" width="12.3363636363636" style="3" customWidth="1"/>
    <col min="19" max="19" width="9.54545454545454" style="2" customWidth="1"/>
    <col min="20" max="21" width="11.6818181818182" style="2" customWidth="1"/>
    <col min="22" max="22" width="15.9727272727273" style="3" customWidth="1"/>
    <col min="23" max="23" width="16.1" style="3" customWidth="1"/>
    <col min="24" max="26" width="8.88181818181818" style="2" customWidth="1"/>
    <col min="27" max="27" width="16.2272727272727" style="2" customWidth="1"/>
    <col min="28" max="28" width="18.5454545454545" style="2" customWidth="1"/>
    <col min="29" max="29" width="16.2272727272727" style="2" customWidth="1"/>
    <col min="30" max="30" width="16.1" style="3" customWidth="1"/>
    <col min="31" max="31" width="14.6727272727273" style="3" customWidth="1"/>
    <col min="32" max="32" width="13.5" style="3" customWidth="1"/>
    <col min="33" max="33" width="11.0363636363636" style="2" customWidth="1"/>
    <col min="34" max="35" width="14.1545454545455" style="3" customWidth="1"/>
    <col min="36" max="36" width="14.1545454545455" style="2" customWidth="1"/>
    <col min="37" max="37" width="18.1818181818182" style="3" customWidth="1"/>
    <col min="38" max="38" width="15.2727272727273" style="3" customWidth="1"/>
    <col min="39" max="39" width="16.1272727272727" style="3" customWidth="1"/>
    <col min="40" max="40" width="18.5636363636364" style="3" customWidth="1"/>
    <col min="41" max="41" width="18.5" style="7" customWidth="1"/>
    <col min="42" max="42" width="17.3636363636364" style="8" customWidth="1"/>
    <col min="43" max="43" width="18.5454545454545" style="8" customWidth="1"/>
    <col min="44" max="45" width="16.2727272727273" style="8" customWidth="1"/>
    <col min="46" max="16384" width="8.72727272727273" style="2"/>
  </cols>
  <sheetData>
    <row r="1" spans="1:45">
      <c r="R1" s="3">
        <v>6500</v>
      </c>
      <c r="AM1" s="9">
        <v>0.02</v>
      </c>
    </row>
    <row r="2" ht="35" customHeight="1" spans="1:45">
      <c r="A2" s="10" t="s">
        <v>0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2"/>
      <c r="O2" s="13" t="s">
        <v>1</v>
      </c>
      <c r="P2" s="13"/>
      <c r="Q2" s="13"/>
      <c r="R2" s="13" t="s">
        <v>2</v>
      </c>
      <c r="S2" s="13"/>
      <c r="T2" s="13"/>
      <c r="U2" s="13"/>
      <c r="V2" s="13" t="s">
        <v>3</v>
      </c>
      <c r="W2" s="13"/>
      <c r="X2" s="13" t="s">
        <v>4</v>
      </c>
      <c r="Y2" s="13"/>
      <c r="Z2" s="13"/>
      <c r="AA2" s="14" t="s">
        <v>5</v>
      </c>
      <c r="AB2" s="14"/>
      <c r="AC2" s="14"/>
      <c r="AD2" s="14" t="s">
        <v>6</v>
      </c>
      <c r="AE2" s="13" t="s">
        <v>7</v>
      </c>
      <c r="AF2" s="13"/>
      <c r="AG2" s="13"/>
      <c r="AH2" s="13"/>
      <c r="AI2" s="13"/>
      <c r="AJ2" s="13"/>
      <c r="AK2" s="13"/>
      <c r="AL2" s="13"/>
      <c r="AM2" s="13" t="s">
        <v>8</v>
      </c>
      <c r="AN2" s="13"/>
      <c r="AO2" s="14" t="s">
        <v>9</v>
      </c>
      <c r="AP2" s="14" t="s">
        <v>10</v>
      </c>
      <c r="AQ2" s="14" t="s">
        <v>11</v>
      </c>
      <c r="AR2" s="14" t="s">
        <v>12</v>
      </c>
      <c r="AS2" s="14" t="s">
        <v>13</v>
      </c>
    </row>
    <row r="3" s="1" customFormat="1" ht="35" customHeight="1" spans="1:45">
      <c r="A3" s="15" t="s">
        <v>14</v>
      </c>
      <c r="B3" s="15" t="s">
        <v>15</v>
      </c>
      <c r="C3" s="15" t="s">
        <v>16</v>
      </c>
      <c r="D3" s="15" t="s">
        <v>17</v>
      </c>
      <c r="E3" s="16" t="s">
        <v>18</v>
      </c>
      <c r="F3" s="17" t="s">
        <v>19</v>
      </c>
      <c r="G3" s="17" t="s">
        <v>20</v>
      </c>
      <c r="H3" s="17" t="s">
        <v>21</v>
      </c>
      <c r="I3" s="17" t="s">
        <v>22</v>
      </c>
      <c r="J3" s="17" t="s">
        <v>23</v>
      </c>
      <c r="K3" s="17" t="s">
        <v>24</v>
      </c>
      <c r="L3" s="17" t="s">
        <v>25</v>
      </c>
      <c r="M3" s="17" t="s">
        <v>26</v>
      </c>
      <c r="N3" s="15" t="s">
        <v>27</v>
      </c>
      <c r="O3" s="18" t="s">
        <v>28</v>
      </c>
      <c r="P3" s="18" t="s">
        <v>29</v>
      </c>
      <c r="Q3" s="18" t="s">
        <v>30</v>
      </c>
      <c r="R3" s="18" t="s">
        <v>20</v>
      </c>
      <c r="S3" s="18" t="s">
        <v>31</v>
      </c>
      <c r="T3" s="18" t="s">
        <v>32</v>
      </c>
      <c r="U3" s="18" t="s">
        <v>22</v>
      </c>
      <c r="V3" s="18" t="s">
        <v>33</v>
      </c>
      <c r="W3" s="18" t="s">
        <v>34</v>
      </c>
      <c r="X3" s="19" t="s">
        <v>35</v>
      </c>
      <c r="Y3" s="19" t="s">
        <v>36</v>
      </c>
      <c r="Z3" s="19" t="s">
        <v>37</v>
      </c>
      <c r="AA3" s="20">
        <v>155</v>
      </c>
      <c r="AB3" s="20">
        <v>135</v>
      </c>
      <c r="AC3" s="20">
        <v>20</v>
      </c>
      <c r="AD3" s="19" t="s">
        <v>38</v>
      </c>
      <c r="AE3" s="15" t="s">
        <v>39</v>
      </c>
      <c r="AF3" s="20" t="s">
        <v>40</v>
      </c>
      <c r="AG3" s="21" t="s">
        <v>41</v>
      </c>
      <c r="AH3" s="21" t="s">
        <v>42</v>
      </c>
      <c r="AI3" s="21" t="s">
        <v>43</v>
      </c>
      <c r="AJ3" s="21" t="s">
        <v>44</v>
      </c>
      <c r="AK3" s="22" t="s">
        <v>45</v>
      </c>
      <c r="AL3" s="22" t="s">
        <v>46</v>
      </c>
      <c r="AM3" s="23" t="s">
        <v>47</v>
      </c>
      <c r="AN3" s="23" t="s">
        <v>38</v>
      </c>
      <c r="AO3" s="24" t="s">
        <v>48</v>
      </c>
      <c r="AP3" s="24"/>
      <c r="AQ3" s="24"/>
      <c r="AR3" s="24"/>
      <c r="AS3" s="24"/>
    </row>
    <row r="4" s="2" customFormat="1" ht="35" customHeight="1" spans="1:45">
      <c r="A4" s="25">
        <v>1</v>
      </c>
      <c r="B4" s="26"/>
      <c r="C4" s="26"/>
      <c r="D4" s="26"/>
      <c r="E4" s="27">
        <v>1</v>
      </c>
      <c r="F4" s="28">
        <f>SUM(G4:J4)</f>
        <v>7445.054947</v>
      </c>
      <c r="G4" s="28">
        <f>R4</f>
        <v>6500</v>
      </c>
      <c r="H4" s="28">
        <f>S4+T4</f>
        <v>233.23177</v>
      </c>
      <c r="I4" s="28">
        <f>U4</f>
        <v>35</v>
      </c>
      <c r="J4" s="28">
        <f t="shared" ref="J4:J7" si="0">SUM(G4:I4)*10%</f>
        <v>676.823177</v>
      </c>
      <c r="K4" s="29">
        <f t="shared" ref="K4:K7" si="1">E4*F4</f>
        <v>7445.054947</v>
      </c>
      <c r="L4" s="29">
        <f>G4*E4*60%</f>
        <v>3900</v>
      </c>
      <c r="M4" s="29">
        <f>AO4*E4</f>
        <v>175.15</v>
      </c>
      <c r="N4" s="30"/>
      <c r="O4" s="31">
        <v>1</v>
      </c>
      <c r="P4" s="31">
        <v>1</v>
      </c>
      <c r="Q4" s="31">
        <v>1</v>
      </c>
      <c r="R4" s="31">
        <f>ROUND($R$1*O4*1,2)</f>
        <v>6500</v>
      </c>
      <c r="S4" s="31">
        <f>AN4</f>
        <v>194.73177</v>
      </c>
      <c r="T4" s="31">
        <f>ROUND(P4*35*1.1*1,2)</f>
        <v>38.5</v>
      </c>
      <c r="U4" s="31">
        <f>ROUND(Q4*35*1,2)</f>
        <v>35</v>
      </c>
      <c r="V4" s="31"/>
      <c r="W4" s="31"/>
      <c r="X4" s="32">
        <v>1</v>
      </c>
      <c r="Y4" s="33"/>
      <c r="Z4" s="33"/>
      <c r="AA4" s="33">
        <f>X4*$AA$3</f>
        <v>155</v>
      </c>
      <c r="AB4" s="33"/>
      <c r="AC4" s="33"/>
      <c r="AD4" s="29"/>
      <c r="AE4" s="34">
        <v>0.07</v>
      </c>
      <c r="AF4" s="34">
        <v>0.06</v>
      </c>
      <c r="AG4" s="34">
        <v>0</v>
      </c>
      <c r="AH4" s="34">
        <v>0.03</v>
      </c>
      <c r="AI4" s="34">
        <v>0.05</v>
      </c>
      <c r="AJ4" s="34">
        <v>0.01</v>
      </c>
      <c r="AK4" s="35">
        <f>SUM(AA4:AC4)*(1+(AE4+AF4))*(1+(AG4+AH4+AI4+AJ4))</f>
        <v>190.9135</v>
      </c>
      <c r="AL4" s="35">
        <f>AD4</f>
        <v>0</v>
      </c>
      <c r="AM4" s="35">
        <f>SUM(AK4:AL4)*$AM$1</f>
        <v>3.81827</v>
      </c>
      <c r="AN4" s="35">
        <f>SUM(AK4:AM4)</f>
        <v>194.73177</v>
      </c>
      <c r="AO4" s="35">
        <f>SUM(AA4:AC4)*(1+AE4+AF4)</f>
        <v>175.15</v>
      </c>
      <c r="AP4" s="33">
        <f t="shared" ref="AP4:AS4" si="2">G4*$E4</f>
        <v>6500</v>
      </c>
      <c r="AQ4" s="33">
        <f t="shared" si="2"/>
        <v>233.23177</v>
      </c>
      <c r="AR4" s="33">
        <f t="shared" si="2"/>
        <v>35</v>
      </c>
      <c r="AS4" s="33">
        <f t="shared" si="2"/>
        <v>676.823177</v>
      </c>
    </row>
    <row r="5" s="2" customFormat="1" ht="35" customHeight="1" spans="1:45">
      <c r="A5" s="25">
        <v>2</v>
      </c>
      <c r="B5" s="26"/>
      <c r="C5" s="26"/>
      <c r="D5" s="26"/>
      <c r="E5" s="27">
        <v>1</v>
      </c>
      <c r="F5" s="28">
        <f>SUM(G5:J5)</f>
        <v>7417.415599</v>
      </c>
      <c r="G5" s="28">
        <f>R5</f>
        <v>6500</v>
      </c>
      <c r="H5" s="28">
        <f>S5+T5</f>
        <v>208.10509</v>
      </c>
      <c r="I5" s="28">
        <f>U5</f>
        <v>35</v>
      </c>
      <c r="J5" s="28">
        <f t="shared" si="0"/>
        <v>674.310509</v>
      </c>
      <c r="K5" s="29">
        <f t="shared" si="1"/>
        <v>7417.415599</v>
      </c>
      <c r="L5" s="29">
        <f>G5*E5*60%</f>
        <v>3900</v>
      </c>
      <c r="M5" s="29">
        <f>AO5*E5</f>
        <v>152.55</v>
      </c>
      <c r="N5" s="30"/>
      <c r="O5" s="31">
        <v>1</v>
      </c>
      <c r="P5" s="31">
        <v>1</v>
      </c>
      <c r="Q5" s="31">
        <v>1</v>
      </c>
      <c r="R5" s="31">
        <f>ROUND($R$1*O5*1,2)</f>
        <v>6500</v>
      </c>
      <c r="S5" s="31">
        <f>AN5</f>
        <v>169.60509</v>
      </c>
      <c r="T5" s="31">
        <f>ROUND(P5*35*1.1*1,2)</f>
        <v>38.5</v>
      </c>
      <c r="U5" s="31">
        <f>ROUND(Q5*35*1,2)</f>
        <v>35</v>
      </c>
      <c r="V5" s="31"/>
      <c r="W5" s="31"/>
      <c r="X5" s="32"/>
      <c r="Y5" s="33">
        <v>1</v>
      </c>
      <c r="Z5" s="33"/>
      <c r="AA5" s="33"/>
      <c r="AB5" s="33">
        <f>Y5*$AB$3</f>
        <v>135</v>
      </c>
      <c r="AC5" s="33"/>
      <c r="AD5" s="29"/>
      <c r="AE5" s="34">
        <v>0.07</v>
      </c>
      <c r="AF5" s="34">
        <v>0.06</v>
      </c>
      <c r="AG5" s="34">
        <v>0</v>
      </c>
      <c r="AH5" s="34">
        <v>0.03</v>
      </c>
      <c r="AI5" s="34">
        <v>0.05</v>
      </c>
      <c r="AJ5" s="34">
        <v>0.01</v>
      </c>
      <c r="AK5" s="35">
        <f>SUM(AA5:AC5)*(1+(AE5+AF5))*(1+(AG5+AH5+AI5+AJ5))</f>
        <v>166.2795</v>
      </c>
      <c r="AL5" s="35">
        <f>AD5</f>
        <v>0</v>
      </c>
      <c r="AM5" s="35">
        <f>SUM(AK5:AL5)*$AM$1</f>
        <v>3.32559</v>
      </c>
      <c r="AN5" s="35">
        <f>SUM(AK5:AM5)</f>
        <v>169.60509</v>
      </c>
      <c r="AO5" s="35">
        <f>SUM(AA5:AC5)*(1+AE5+AF5)</f>
        <v>152.55</v>
      </c>
      <c r="AP5" s="33">
        <f t="shared" ref="AP5:AS5" si="3">G5*$E5</f>
        <v>6500</v>
      </c>
      <c r="AQ5" s="33">
        <f t="shared" si="3"/>
        <v>208.10509</v>
      </c>
      <c r="AR5" s="33">
        <f t="shared" si="3"/>
        <v>35</v>
      </c>
      <c r="AS5" s="33">
        <f t="shared" si="3"/>
        <v>674.310509</v>
      </c>
    </row>
    <row r="6" s="2" customFormat="1" ht="35" customHeight="1" spans="1:45">
      <c r="A6" s="25">
        <v>3</v>
      </c>
      <c r="B6" s="26"/>
      <c r="C6" s="26"/>
      <c r="D6" s="26"/>
      <c r="E6" s="27">
        <v>1</v>
      </c>
      <c r="F6" s="28">
        <f>SUM(G6:J6)</f>
        <v>7266.096508</v>
      </c>
      <c r="G6" s="28">
        <f>R6</f>
        <v>6500</v>
      </c>
      <c r="H6" s="28">
        <f>S6+T6</f>
        <v>70.54228</v>
      </c>
      <c r="I6" s="28">
        <f>U6</f>
        <v>35</v>
      </c>
      <c r="J6" s="28">
        <f t="shared" si="0"/>
        <v>660.554228</v>
      </c>
      <c r="K6" s="29">
        <f t="shared" si="1"/>
        <v>7266.096508</v>
      </c>
      <c r="L6" s="29">
        <f>G6*E6*60%</f>
        <v>3900</v>
      </c>
      <c r="M6" s="29">
        <f>AO6*E6</f>
        <v>22.6</v>
      </c>
      <c r="N6" s="30"/>
      <c r="O6" s="31">
        <v>1</v>
      </c>
      <c r="P6" s="31">
        <v>1</v>
      </c>
      <c r="Q6" s="31">
        <v>1</v>
      </c>
      <c r="R6" s="31">
        <f>ROUND($R$1*O6*1,2)</f>
        <v>6500</v>
      </c>
      <c r="S6" s="31">
        <f>AN6</f>
        <v>32.04228</v>
      </c>
      <c r="T6" s="31">
        <f>ROUND(P6*35*1.1*1,2)</f>
        <v>38.5</v>
      </c>
      <c r="U6" s="31">
        <f>ROUND(Q6*35*1,2)</f>
        <v>35</v>
      </c>
      <c r="V6" s="31"/>
      <c r="W6" s="31"/>
      <c r="X6" s="32"/>
      <c r="Y6" s="33"/>
      <c r="Z6" s="33">
        <v>1</v>
      </c>
      <c r="AA6" s="33"/>
      <c r="AB6" s="33"/>
      <c r="AC6" s="33">
        <f>Z6*$AC$3</f>
        <v>20</v>
      </c>
      <c r="AD6" s="29"/>
      <c r="AE6" s="34">
        <v>0.07</v>
      </c>
      <c r="AF6" s="34">
        <v>0.06</v>
      </c>
      <c r="AG6" s="36">
        <v>0.3</v>
      </c>
      <c r="AH6" s="34">
        <v>0.03</v>
      </c>
      <c r="AI6" s="34">
        <v>0.05</v>
      </c>
      <c r="AJ6" s="34">
        <v>0.01</v>
      </c>
      <c r="AK6" s="35">
        <f>SUM(AA6:AC6)*(1+(AE6+AF6))*(1+(AG6+AH6+AI6+AJ6))</f>
        <v>31.414</v>
      </c>
      <c r="AL6" s="35">
        <f>AD6</f>
        <v>0</v>
      </c>
      <c r="AM6" s="35">
        <f>SUM(AK6:AL6)*$AM$1</f>
        <v>0.62828</v>
      </c>
      <c r="AN6" s="35">
        <f>SUM(AK6:AM6)</f>
        <v>32.04228</v>
      </c>
      <c r="AO6" s="35">
        <f>SUM(AA6:AC6)*(1+AE6+AF6)</f>
        <v>22.6</v>
      </c>
      <c r="AP6" s="33">
        <f t="shared" ref="AP6:AS6" si="4">G6*$E6</f>
        <v>6500</v>
      </c>
      <c r="AQ6" s="33">
        <f t="shared" si="4"/>
        <v>70.54228</v>
      </c>
      <c r="AR6" s="33">
        <f t="shared" si="4"/>
        <v>35</v>
      </c>
      <c r="AS6" s="33">
        <f t="shared" si="4"/>
        <v>660.554228</v>
      </c>
    </row>
    <row r="7" s="2" customFormat="1" ht="35" customHeight="1" spans="1:45">
      <c r="A7" s="25">
        <v>4</v>
      </c>
      <c r="B7" s="26"/>
      <c r="C7" s="26"/>
      <c r="D7" s="26"/>
      <c r="E7" s="27">
        <v>1</v>
      </c>
      <c r="F7" s="28">
        <f>SUM(G7:J7)</f>
        <v>7231.972</v>
      </c>
      <c r="G7" s="28">
        <f>R7</f>
        <v>6500</v>
      </c>
      <c r="H7" s="28">
        <f>S7+T7</f>
        <v>39.52</v>
      </c>
      <c r="I7" s="28">
        <f>U7</f>
        <v>35</v>
      </c>
      <c r="J7" s="28">
        <f t="shared" si="0"/>
        <v>657.452</v>
      </c>
      <c r="K7" s="29">
        <f t="shared" si="1"/>
        <v>7231.972</v>
      </c>
      <c r="L7" s="29">
        <f>G7*E7*60%</f>
        <v>3900</v>
      </c>
      <c r="M7" s="29">
        <f>AO7*E7</f>
        <v>0</v>
      </c>
      <c r="N7" s="30"/>
      <c r="O7" s="31">
        <v>1</v>
      </c>
      <c r="P7" s="31">
        <v>1</v>
      </c>
      <c r="Q7" s="31">
        <v>1</v>
      </c>
      <c r="R7" s="31">
        <f>ROUND($R$1*O7*1,2)</f>
        <v>6500</v>
      </c>
      <c r="S7" s="31">
        <f>AN7</f>
        <v>1.02</v>
      </c>
      <c r="T7" s="31">
        <f>ROUND(P7*35*1.1*1,2)</f>
        <v>38.5</v>
      </c>
      <c r="U7" s="31">
        <f>ROUND(Q7*35*1,2)</f>
        <v>35</v>
      </c>
      <c r="V7" s="31"/>
      <c r="W7" s="31"/>
      <c r="X7" s="32"/>
      <c r="Y7" s="33"/>
      <c r="Z7" s="33"/>
      <c r="AA7" s="33"/>
      <c r="AB7" s="33"/>
      <c r="AC7" s="33"/>
      <c r="AD7" s="29">
        <v>1</v>
      </c>
      <c r="AE7" s="34">
        <v>0.07</v>
      </c>
      <c r="AF7" s="34">
        <v>0.06</v>
      </c>
      <c r="AG7" s="34">
        <v>0</v>
      </c>
      <c r="AH7" s="34">
        <v>0.03</v>
      </c>
      <c r="AI7" s="34">
        <v>0.05</v>
      </c>
      <c r="AJ7" s="34">
        <v>0.01</v>
      </c>
      <c r="AK7" s="35">
        <f>SUM(AA7:AC7)*(1+(AE7+AF7))*(1+(AG7+AH7+AI7+AJ7))</f>
        <v>0</v>
      </c>
      <c r="AL7" s="35">
        <f>AD7</f>
        <v>1</v>
      </c>
      <c r="AM7" s="35">
        <f>SUM(AK7:AL7)*$AM$1</f>
        <v>0.02</v>
      </c>
      <c r="AN7" s="35">
        <f>SUM(AK7:AM7)</f>
        <v>1.02</v>
      </c>
      <c r="AO7" s="35">
        <f>SUM(AA7:AC7)*(1+AE7+AF7)</f>
        <v>0</v>
      </c>
      <c r="AP7" s="33">
        <f t="shared" ref="AP7:AS7" si="5">G7*$E7</f>
        <v>6500</v>
      </c>
      <c r="AQ7" s="33">
        <f t="shared" si="5"/>
        <v>39.52</v>
      </c>
      <c r="AR7" s="33">
        <f t="shared" si="5"/>
        <v>35</v>
      </c>
      <c r="AS7" s="33">
        <f t="shared" si="5"/>
        <v>657.452</v>
      </c>
    </row>
    <row r="8" s="2" customFormat="1" ht="35" hidden="1" customHeight="1" spans="1:45">
      <c r="A8" s="37"/>
      <c r="B8" s="38" t="s">
        <v>49</v>
      </c>
      <c r="C8" s="38"/>
      <c r="D8" s="38"/>
      <c r="E8" s="39"/>
      <c r="F8" s="40"/>
      <c r="G8" s="40"/>
      <c r="H8" s="40"/>
      <c r="I8" s="40"/>
      <c r="J8" s="40"/>
      <c r="K8" s="6"/>
      <c r="L8" s="6"/>
      <c r="M8" s="6"/>
      <c r="N8" s="41"/>
      <c r="O8" s="42"/>
      <c r="P8" s="42"/>
      <c r="Q8" s="42"/>
      <c r="R8" s="42"/>
      <c r="S8" s="42"/>
      <c r="T8" s="42"/>
      <c r="U8" s="42"/>
      <c r="V8" s="42"/>
      <c r="W8" s="42"/>
      <c r="X8" s="43"/>
      <c r="Y8" s="8"/>
      <c r="Z8" s="8"/>
      <c r="AA8" s="8"/>
      <c r="AB8" s="8"/>
      <c r="AC8" s="8"/>
      <c r="AD8" s="6"/>
      <c r="AE8" s="44"/>
      <c r="AF8" s="44"/>
      <c r="AG8" s="44"/>
      <c r="AH8" s="45"/>
      <c r="AI8" s="44"/>
      <c r="AJ8" s="44"/>
      <c r="AK8" s="46"/>
      <c r="AL8" s="46"/>
      <c r="AM8" s="46"/>
      <c r="AN8" s="46"/>
      <c r="AO8" s="46"/>
      <c r="AP8" s="8"/>
      <c r="AQ8" s="8"/>
      <c r="AR8" s="8"/>
      <c r="AS8" s="8"/>
    </row>
    <row r="9" ht="48" hidden="1" customHeight="1" spans="1:45">
      <c r="A9" s="47" t="s">
        <v>50</v>
      </c>
      <c r="B9" s="47"/>
      <c r="C9" s="47"/>
      <c r="D9" s="47"/>
      <c r="E9" s="47"/>
      <c r="F9" s="47"/>
      <c r="G9" s="47"/>
    </row>
    <row r="10" ht="54" hidden="1" customHeight="1" spans="1:45">
      <c r="A10" s="48" t="s">
        <v>51</v>
      </c>
      <c r="B10" s="49" t="s">
        <v>52</v>
      </c>
      <c r="C10" s="49"/>
      <c r="D10" s="49"/>
      <c r="E10" s="49"/>
      <c r="F10" s="49"/>
      <c r="G10" s="49"/>
      <c r="H10" s="50"/>
      <c r="I10" s="50"/>
    </row>
    <row r="11" ht="54" hidden="1" customHeight="1" spans="1:45">
      <c r="A11" s="48" t="s">
        <v>53</v>
      </c>
      <c r="B11" s="51" t="s">
        <v>54</v>
      </c>
      <c r="C11" s="51"/>
      <c r="D11" s="51"/>
      <c r="E11" s="51"/>
      <c r="F11" s="51"/>
      <c r="G11" s="51"/>
      <c r="H11" s="52"/>
      <c r="I11" s="50"/>
    </row>
    <row r="12" ht="54" hidden="1" customHeight="1" spans="1:45">
      <c r="A12" s="48" t="s">
        <v>55</v>
      </c>
      <c r="B12" s="51" t="s">
        <v>56</v>
      </c>
      <c r="C12" s="51"/>
      <c r="D12" s="51"/>
      <c r="E12" s="51"/>
      <c r="F12" s="51"/>
      <c r="G12" s="51"/>
      <c r="H12" s="50"/>
      <c r="I12" s="50"/>
    </row>
    <row r="13" ht="30" hidden="1" customHeight="1" spans="1:45">
      <c r="A13" s="13"/>
      <c r="B13" s="13"/>
      <c r="C13" s="13"/>
      <c r="D13" s="13"/>
      <c r="E13" s="13"/>
      <c r="F13" s="13"/>
      <c r="G13" s="13"/>
    </row>
  </sheetData>
  <autoFilter xmlns:etc="http://www.wps.cn/officeDocument/2017/etCustomData" ref="A3:AO12" etc:filterBottomFollowUsedRange="0">
    <extLst/>
  </autoFilter>
  <mergeCells count="18">
    <mergeCell ref="A2:N2"/>
    <mergeCell ref="O2:Q2"/>
    <mergeCell ref="R2:U2"/>
    <mergeCell ref="V2:W2"/>
    <mergeCell ref="X2:Z2"/>
    <mergeCell ref="AA2:AC2"/>
    <mergeCell ref="AE2:AL2"/>
    <mergeCell ref="AM2:AN2"/>
    <mergeCell ref="A9:G9"/>
    <mergeCell ref="B10:G10"/>
    <mergeCell ref="B11:G11"/>
    <mergeCell ref="B12:G12"/>
    <mergeCell ref="B13:G13"/>
    <mergeCell ref="AO2:AO3"/>
    <mergeCell ref="AP2:AP3"/>
    <mergeCell ref="AQ2:AQ3"/>
    <mergeCell ref="AR2:AR3"/>
    <mergeCell ref="AS2:AS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组价模板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back</cp:lastModifiedBy>
  <dcterms:created xsi:type="dcterms:W3CDTF">2026-08-30T09:56:00Z</dcterms:created>
  <dcterms:modified xsi:type="dcterms:W3CDTF">2026-09-10T09:52:37Z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true</vt:bool>
  </property>
  <property fmtid="{D5CDD505-2E9C-101B-9397-08002B2CF9AE}" pid="3" name="KSOProductBuildVer">
    <vt:lpwstr>2052-12.1.0.26885</vt:lpwstr>
  </property>
  <property fmtid="{D5CDD505-2E9C-101B-9397-08002B2CF9AE}" pid="4" name="CalculationRule">
    <vt:i4>0</vt:i4>
  </property>
  <property fmtid="{D5CDD505-2E9C-101B-9397-08002B2CF9AE}" pid="5" name="ICV">
    <vt:lpwstr>B1DBB2672CD541C6B253C80957E1A4B3_13</vt:lpwstr>
  </property>
</Properties>
</file>